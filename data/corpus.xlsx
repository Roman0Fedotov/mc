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 activeTab="1"/>
  </bookViews>
  <sheets>
    <sheet name="manuscripts" sheetId="1" r:id="rId1"/>
    <sheet name="spells" sheetId="3" r:id="rId2"/>
    <sheet name="spell_categories" sheetId="4" r:id="rId3"/>
    <sheet name="categories" sheetId="2" r:id="rId4"/>
    <sheet name="title_en" sheetId="5" r:id="rId5"/>
  </sheets>
  <calcPr calcId="145621"/>
</workbook>
</file>

<file path=xl/calcChain.xml><?xml version="1.0" encoding="utf-8"?>
<calcChain xmlns="http://schemas.openxmlformats.org/spreadsheetml/2006/main">
  <c r="B3" i="4" l="1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</calcChain>
</file>

<file path=xl/sharedStrings.xml><?xml version="1.0" encoding="utf-8"?>
<sst xmlns="http://schemas.openxmlformats.org/spreadsheetml/2006/main" count="166" uniqueCount="89">
  <si>
    <t>Berlin Ms Or Oct 553</t>
  </si>
  <si>
    <t>ms0001</t>
  </si>
  <si>
    <t>id</t>
  </si>
  <si>
    <t>title</t>
  </si>
  <si>
    <t>location</t>
  </si>
  <si>
    <t>Berlin</t>
  </si>
  <si>
    <t>Be95</t>
  </si>
  <si>
    <t>format</t>
  </si>
  <si>
    <t>codex</t>
  </si>
  <si>
    <t>date</t>
  </si>
  <si>
    <t>N of texts</t>
  </si>
  <si>
    <t>ZR 81, Be95</t>
  </si>
  <si>
    <t>bibliography</t>
  </si>
  <si>
    <t>siglum</t>
  </si>
  <si>
    <t>Introductory prayers</t>
  </si>
  <si>
    <t>Named anathemas</t>
  </si>
  <si>
    <t>cat0001</t>
  </si>
  <si>
    <t>cat0002</t>
  </si>
  <si>
    <t>parent_id</t>
  </si>
  <si>
    <t>A</t>
  </si>
  <si>
    <t>Before rulers and magistrates</t>
  </si>
  <si>
    <t>Anti-weapon charms</t>
  </si>
  <si>
    <t>Medical charms</t>
  </si>
  <si>
    <t>Love charms</t>
  </si>
  <si>
    <t>cat0003</t>
  </si>
  <si>
    <t>cat0004</t>
  </si>
  <si>
    <t>cat0005</t>
  </si>
  <si>
    <t>cat0006</t>
  </si>
  <si>
    <t>cat0007</t>
  </si>
  <si>
    <t>cat0008</t>
  </si>
  <si>
    <t>B</t>
  </si>
  <si>
    <t>manuscript_id</t>
  </si>
  <si>
    <t>title_syr</t>
  </si>
  <si>
    <t>title_en</t>
  </si>
  <si>
    <t>page</t>
  </si>
  <si>
    <t>sp0001</t>
  </si>
  <si>
    <t>fol. 1v-2r</t>
  </si>
  <si>
    <t>Trisagion prayer</t>
  </si>
  <si>
    <t>ܫܘܪܝܐ ܕܨܠܘܬܐ</t>
  </si>
  <si>
    <t>spell_id</t>
  </si>
  <si>
    <t>category_id</t>
  </si>
  <si>
    <t>fol. 2r</t>
  </si>
  <si>
    <t>Prayer of the shepherds</t>
  </si>
  <si>
    <t>ܨܠܘܬܐ ܕܪ̈ܥܘܬܐ</t>
  </si>
  <si>
    <t>fol. 2rv</t>
  </si>
  <si>
    <t>Lord’s prayer</t>
  </si>
  <si>
    <t>fol. 2v</t>
  </si>
  <si>
    <t>Prayer of Adam</t>
  </si>
  <si>
    <t>fol. 2v-3r</t>
  </si>
  <si>
    <t>Prayer of the angels</t>
  </si>
  <si>
    <t>sp0002</t>
  </si>
  <si>
    <t>sp0003</t>
  </si>
  <si>
    <t>sp0004</t>
  </si>
  <si>
    <t>sp0005</t>
  </si>
  <si>
    <t>ms0002</t>
  </si>
  <si>
    <t>Berlin Sachau 95</t>
  </si>
  <si>
    <t>Be553</t>
  </si>
  <si>
    <t>ZR 82, Be553</t>
  </si>
  <si>
    <t>sp0006</t>
  </si>
  <si>
    <t>sp0007</t>
  </si>
  <si>
    <t>sp0008</t>
  </si>
  <si>
    <t>sp0009</t>
  </si>
  <si>
    <t>sp0010</t>
  </si>
  <si>
    <t>fol. 2v-3v</t>
  </si>
  <si>
    <t>fol. 3v-4r</t>
  </si>
  <si>
    <t>fol. 4rv</t>
  </si>
  <si>
    <t>ܨܠܘܬܐ ܕܡܪܢ</t>
  </si>
  <si>
    <t>fol. 4v</t>
  </si>
  <si>
    <t>ܨܠܘܬܐ ܕܐܕܡ</t>
  </si>
  <si>
    <t>fol. 4v-5r</t>
  </si>
  <si>
    <t>ܨܠܘܬܐ ܕܡܠܐܟ̈ܐ</t>
  </si>
  <si>
    <t>ms0003</t>
  </si>
  <si>
    <t>BnF ms syr 347</t>
  </si>
  <si>
    <t>Pa347</t>
  </si>
  <si>
    <t>ZR 87</t>
  </si>
  <si>
    <t>Paris</t>
  </si>
  <si>
    <t>sp0011</t>
  </si>
  <si>
    <t>sp0012</t>
  </si>
  <si>
    <t>sp0013</t>
  </si>
  <si>
    <t>sp0014</t>
  </si>
  <si>
    <t>sp0015</t>
  </si>
  <si>
    <t>fol. 3r</t>
  </si>
  <si>
    <t>fol. 3v-5v</t>
  </si>
  <si>
    <t>Anathema of the Gospel</t>
  </si>
  <si>
    <t>ܐܘܢܓܠܝܘܢ ܩܕܝܫܐ ܕܡܪܢ ܝܫܘܥ ܡܫܝܚܐ ܟܪܘܙܘܬܐ ܕܝܘܚܢܢ</t>
  </si>
  <si>
    <t>category</t>
  </si>
  <si>
    <t>name</t>
  </si>
  <si>
    <t>translation</t>
  </si>
  <si>
    <t>Начало молитвы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</si>
</sst>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activeCell="H4" sqref="H4"/>
    </sheetView>
  </sheetViews>
  <sheetFormatPr defaultRowHeight="15" x14ac:dyDescent="0.25"/>
  <cols>
    <col min="1" max="2" width="19" bestFit="1" customWidth="1"/>
    <col min="7" max="7" width="9.5703125" bestFit="1" customWidth="1"/>
    <col min="8" max="9" width="12.140625" bestFit="1" customWidth="1"/>
  </cols>
  <sheetData>
    <row r="1" spans="1:8" x14ac:dyDescent="0.25">
      <c r="A1" t="s">
        <v>2</v>
      </c>
      <c r="B1" t="s">
        <v>3</v>
      </c>
      <c r="C1" t="s">
        <v>13</v>
      </c>
      <c r="D1" t="s">
        <v>4</v>
      </c>
      <c r="E1" s="1" t="s">
        <v>7</v>
      </c>
      <c r="F1" t="s">
        <v>9</v>
      </c>
      <c r="G1" s="1" t="s">
        <v>10</v>
      </c>
      <c r="H1" t="s">
        <v>12</v>
      </c>
    </row>
    <row r="2" spans="1:8" x14ac:dyDescent="0.25">
      <c r="A2" t="s">
        <v>1</v>
      </c>
      <c r="B2" s="1" t="s">
        <v>0</v>
      </c>
      <c r="C2" s="1" t="s">
        <v>56</v>
      </c>
      <c r="D2" t="s">
        <v>5</v>
      </c>
      <c r="E2" s="1" t="s">
        <v>8</v>
      </c>
      <c r="F2">
        <v>1800</v>
      </c>
      <c r="G2" s="1">
        <v>50</v>
      </c>
      <c r="H2" s="2" t="s">
        <v>57</v>
      </c>
    </row>
    <row r="3" spans="1:8" x14ac:dyDescent="0.25">
      <c r="A3" s="1" t="s">
        <v>54</v>
      </c>
      <c r="B3" s="1" t="s">
        <v>55</v>
      </c>
      <c r="C3" t="s">
        <v>6</v>
      </c>
      <c r="D3" s="1" t="s">
        <v>5</v>
      </c>
      <c r="E3" s="1" t="s">
        <v>8</v>
      </c>
      <c r="F3" s="1">
        <v>1779</v>
      </c>
      <c r="G3">
        <v>44</v>
      </c>
      <c r="H3" s="2" t="s">
        <v>11</v>
      </c>
    </row>
    <row r="4" spans="1:8" x14ac:dyDescent="0.25">
      <c r="A4" s="1" t="s">
        <v>71</v>
      </c>
      <c r="B4" t="s">
        <v>72</v>
      </c>
      <c r="C4" s="2" t="s">
        <v>73</v>
      </c>
      <c r="D4" t="s">
        <v>75</v>
      </c>
      <c r="E4" s="1" t="s">
        <v>8</v>
      </c>
      <c r="F4" s="1">
        <v>1734</v>
      </c>
      <c r="G4" s="2">
        <v>35</v>
      </c>
      <c r="H4" s="2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zoomScale="130" zoomScaleNormal="130" workbookViewId="0">
      <selection activeCell="E2" sqref="E2"/>
    </sheetView>
  </sheetViews>
  <sheetFormatPr defaultRowHeight="15" x14ac:dyDescent="0.25"/>
  <cols>
    <col min="2" max="2" width="13.7109375" bestFit="1" customWidth="1"/>
    <col min="4" max="4" width="22.5703125" bestFit="1" customWidth="1"/>
    <col min="5" max="5" width="15.5703125" bestFit="1" customWidth="1"/>
    <col min="6" max="6" width="15.5703125" style="1" customWidth="1"/>
    <col min="7" max="7" width="19.28515625" bestFit="1" customWidth="1"/>
  </cols>
  <sheetData>
    <row r="1" spans="1:7" x14ac:dyDescent="0.25">
      <c r="A1" t="s">
        <v>2</v>
      </c>
      <c r="B1" t="s">
        <v>31</v>
      </c>
      <c r="C1" t="s">
        <v>34</v>
      </c>
      <c r="D1" t="s">
        <v>33</v>
      </c>
      <c r="E1" t="s">
        <v>32</v>
      </c>
      <c r="F1" t="s">
        <v>87</v>
      </c>
      <c r="G1" t="s">
        <v>85</v>
      </c>
    </row>
    <row r="2" spans="1:7" x14ac:dyDescent="0.25">
      <c r="A2" t="s">
        <v>35</v>
      </c>
      <c r="B2" t="s">
        <v>1</v>
      </c>
      <c r="C2" s="1" t="s">
        <v>36</v>
      </c>
      <c r="D2" s="1" t="s">
        <v>37</v>
      </c>
      <c r="E2" s="1" t="s">
        <v>38</v>
      </c>
      <c r="F2" s="1" t="s">
        <v>88</v>
      </c>
      <c r="G2" s="1" t="s">
        <v>14</v>
      </c>
    </row>
    <row r="3" spans="1:7" x14ac:dyDescent="0.25">
      <c r="A3" s="1" t="s">
        <v>50</v>
      </c>
      <c r="B3" s="1" t="s">
        <v>1</v>
      </c>
      <c r="C3" s="1" t="s">
        <v>41</v>
      </c>
      <c r="D3" s="1" t="s">
        <v>42</v>
      </c>
      <c r="E3" s="1" t="s">
        <v>43</v>
      </c>
      <c r="G3" s="1" t="s">
        <v>14</v>
      </c>
    </row>
    <row r="4" spans="1:7" x14ac:dyDescent="0.25">
      <c r="A4" s="1" t="s">
        <v>51</v>
      </c>
      <c r="B4" s="1" t="s">
        <v>1</v>
      </c>
      <c r="C4" s="1" t="s">
        <v>44</v>
      </c>
      <c r="D4" s="1" t="s">
        <v>45</v>
      </c>
      <c r="E4" s="1"/>
      <c r="G4" s="1" t="s">
        <v>14</v>
      </c>
    </row>
    <row r="5" spans="1:7" x14ac:dyDescent="0.25">
      <c r="A5" s="1" t="s">
        <v>52</v>
      </c>
      <c r="B5" s="1" t="s">
        <v>1</v>
      </c>
      <c r="C5" s="1" t="s">
        <v>46</v>
      </c>
      <c r="D5" s="1" t="s">
        <v>47</v>
      </c>
      <c r="E5" s="1"/>
      <c r="G5" s="1" t="s">
        <v>14</v>
      </c>
    </row>
    <row r="6" spans="1:7" x14ac:dyDescent="0.25">
      <c r="A6" s="1" t="s">
        <v>53</v>
      </c>
      <c r="B6" s="1" t="s">
        <v>1</v>
      </c>
      <c r="C6" s="1" t="s">
        <v>48</v>
      </c>
      <c r="D6" s="1" t="s">
        <v>49</v>
      </c>
      <c r="E6" s="1"/>
      <c r="G6" s="1" t="s">
        <v>14</v>
      </c>
    </row>
    <row r="7" spans="1:7" x14ac:dyDescent="0.25">
      <c r="A7" s="1" t="s">
        <v>58</v>
      </c>
      <c r="B7" s="1" t="s">
        <v>54</v>
      </c>
      <c r="C7" s="2" t="s">
        <v>63</v>
      </c>
      <c r="D7" s="1" t="s">
        <v>37</v>
      </c>
      <c r="E7" s="2" t="s">
        <v>38</v>
      </c>
      <c r="F7" s="2"/>
      <c r="G7" s="1" t="s">
        <v>14</v>
      </c>
    </row>
    <row r="8" spans="1:7" x14ac:dyDescent="0.25">
      <c r="A8" s="1" t="s">
        <v>59</v>
      </c>
      <c r="B8" s="1" t="s">
        <v>54</v>
      </c>
      <c r="C8" s="2" t="s">
        <v>64</v>
      </c>
      <c r="D8" s="1" t="s">
        <v>42</v>
      </c>
      <c r="E8" s="2" t="s">
        <v>43</v>
      </c>
      <c r="F8" s="2"/>
      <c r="G8" s="1" t="s">
        <v>14</v>
      </c>
    </row>
    <row r="9" spans="1:7" x14ac:dyDescent="0.25">
      <c r="A9" s="1" t="s">
        <v>60</v>
      </c>
      <c r="B9" s="1" t="s">
        <v>54</v>
      </c>
      <c r="C9" s="2" t="s">
        <v>65</v>
      </c>
      <c r="D9" s="1" t="s">
        <v>45</v>
      </c>
      <c r="E9" s="2" t="s">
        <v>66</v>
      </c>
      <c r="F9" s="2"/>
      <c r="G9" s="1" t="s">
        <v>14</v>
      </c>
    </row>
    <row r="10" spans="1:7" x14ac:dyDescent="0.25">
      <c r="A10" s="1" t="s">
        <v>61</v>
      </c>
      <c r="B10" s="1" t="s">
        <v>54</v>
      </c>
      <c r="C10" s="2" t="s">
        <v>67</v>
      </c>
      <c r="D10" s="1" t="s">
        <v>47</v>
      </c>
      <c r="E10" s="2" t="s">
        <v>68</v>
      </c>
      <c r="F10" s="2"/>
      <c r="G10" s="1" t="s">
        <v>14</v>
      </c>
    </row>
    <row r="11" spans="1:7" x14ac:dyDescent="0.25">
      <c r="A11" s="1" t="s">
        <v>62</v>
      </c>
      <c r="B11" s="1" t="s">
        <v>54</v>
      </c>
      <c r="C11" s="2" t="s">
        <v>69</v>
      </c>
      <c r="D11" s="1" t="s">
        <v>49</v>
      </c>
      <c r="E11" s="2" t="s">
        <v>70</v>
      </c>
      <c r="F11" s="2"/>
      <c r="G11" s="1" t="s">
        <v>14</v>
      </c>
    </row>
    <row r="12" spans="1:7" x14ac:dyDescent="0.25">
      <c r="A12" s="1" t="s">
        <v>76</v>
      </c>
      <c r="B12" s="1" t="s">
        <v>71</v>
      </c>
      <c r="C12" s="2" t="s">
        <v>36</v>
      </c>
      <c r="D12" s="1" t="s">
        <v>37</v>
      </c>
      <c r="E12" s="2"/>
      <c r="F12" s="2"/>
      <c r="G12" s="1" t="s">
        <v>14</v>
      </c>
    </row>
    <row r="13" spans="1:7" x14ac:dyDescent="0.25">
      <c r="A13" s="1" t="s">
        <v>77</v>
      </c>
      <c r="B13" s="1" t="s">
        <v>71</v>
      </c>
      <c r="C13" s="1" t="s">
        <v>41</v>
      </c>
      <c r="D13" s="1" t="s">
        <v>42</v>
      </c>
      <c r="E13" s="1"/>
      <c r="G13" s="1" t="s">
        <v>14</v>
      </c>
    </row>
    <row r="14" spans="1:7" x14ac:dyDescent="0.25">
      <c r="A14" s="1" t="s">
        <v>78</v>
      </c>
      <c r="B14" s="1" t="s">
        <v>71</v>
      </c>
      <c r="C14" s="1" t="s">
        <v>48</v>
      </c>
      <c r="D14" s="1" t="s">
        <v>45</v>
      </c>
      <c r="E14" s="1"/>
      <c r="G14" s="1" t="s">
        <v>14</v>
      </c>
    </row>
    <row r="15" spans="1:7" x14ac:dyDescent="0.25">
      <c r="A15" s="1" t="s">
        <v>79</v>
      </c>
      <c r="B15" s="1" t="s">
        <v>71</v>
      </c>
      <c r="C15" s="1" t="s">
        <v>81</v>
      </c>
      <c r="D15" s="1" t="s">
        <v>47</v>
      </c>
      <c r="E15" s="1"/>
      <c r="G15" s="1" t="s">
        <v>14</v>
      </c>
    </row>
    <row r="16" spans="1:7" x14ac:dyDescent="0.25">
      <c r="A16" s="1" t="s">
        <v>80</v>
      </c>
      <c r="B16" s="1" t="s">
        <v>71</v>
      </c>
      <c r="C16" s="1" t="s">
        <v>82</v>
      </c>
      <c r="D16" s="1" t="s">
        <v>83</v>
      </c>
      <c r="E16" s="1" t="s">
        <v>84</v>
      </c>
      <c r="G16" s="1" t="s">
        <v>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categories!$A$4:$A$30</xm:f>
          </x14:formula1>
          <xm:sqref>G2:G16</xm:sqref>
        </x14:dataValidation>
        <x14:dataValidation type="list" allowBlank="1" showInputMessage="1" showErrorMessage="1">
          <x14:formula1>
            <xm:f>title_en!$A$2:$A$1000</xm:f>
          </x14:formula1>
          <xm:sqref>D2:D16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5" sqref="B5"/>
    </sheetView>
  </sheetViews>
  <sheetFormatPr defaultRowHeight="15" x14ac:dyDescent="0.25"/>
  <cols>
    <col min="1" max="1" width="8" bestFit="1" customWidth="1"/>
    <col min="2" max="2" width="11.28515625" bestFit="1" customWidth="1"/>
  </cols>
  <sheetData>
    <row r="1" spans="1:2" x14ac:dyDescent="0.25">
      <c r="A1" t="s">
        <v>39</v>
      </c>
      <c r="B1" t="s">
        <v>40</v>
      </c>
    </row>
    <row r="2" spans="1:2" x14ac:dyDescent="0.25">
      <c r="A2" t="s">
        <v>35</v>
      </c>
      <c r="B2" s="1" t="str">
        <f>IFERROR(VLOOKUP(VLOOKUP(A2,spells!A:G,7,0),categories!A:B,2,0),"")</f>
        <v>cat0003</v>
      </c>
    </row>
    <row r="3" spans="1:2" x14ac:dyDescent="0.25">
      <c r="A3" s="1" t="s">
        <v>50</v>
      </c>
      <c r="B3" s="1" t="str">
        <f>IFERROR(VLOOKUP(VLOOKUP(A3,spells!A:G,7,0),categories!A:B,2,0),"")</f>
        <v>cat0003</v>
      </c>
    </row>
    <row r="4" spans="1:2" x14ac:dyDescent="0.25">
      <c r="A4" s="1" t="s">
        <v>51</v>
      </c>
      <c r="B4" s="1" t="str">
        <f>IFERROR(VLOOKUP(VLOOKUP(A4,spells!A:G,7,0),categories!A:B,2,0),"")</f>
        <v>cat0003</v>
      </c>
    </row>
    <row r="5" spans="1:2" x14ac:dyDescent="0.25">
      <c r="A5" s="1" t="s">
        <v>52</v>
      </c>
      <c r="B5" s="1" t="str">
        <f>IFERROR(VLOOKUP(VLOOKUP(A5,spells!A:G,7,0),categories!A:B,2,0),"")</f>
        <v>cat0003</v>
      </c>
    </row>
    <row r="6" spans="1:2" x14ac:dyDescent="0.25">
      <c r="A6" s="1" t="s">
        <v>53</v>
      </c>
      <c r="B6" s="1" t="str">
        <f>IFERROR(VLOOKUP(VLOOKUP(A6,spells!A:G,7,0),categories!A:B,2,0),"")</f>
        <v>cat0003</v>
      </c>
    </row>
    <row r="7" spans="1:2" x14ac:dyDescent="0.25">
      <c r="A7" s="1" t="s">
        <v>58</v>
      </c>
      <c r="B7" s="1" t="str">
        <f>IFERROR(VLOOKUP(VLOOKUP(A7,spells!A:G,7,0),categories!A:B,2,0),"")</f>
        <v>cat0003</v>
      </c>
    </row>
    <row r="8" spans="1:2" x14ac:dyDescent="0.25">
      <c r="A8" s="1" t="s">
        <v>59</v>
      </c>
      <c r="B8" s="1" t="str">
        <f>IFERROR(VLOOKUP(VLOOKUP(A8,spells!A:G,7,0),categories!A:B,2,0),"")</f>
        <v>cat0003</v>
      </c>
    </row>
    <row r="9" spans="1:2" x14ac:dyDescent="0.25">
      <c r="A9" s="1" t="s">
        <v>60</v>
      </c>
      <c r="B9" s="1" t="str">
        <f>IFERROR(VLOOKUP(VLOOKUP(A9,spells!A:G,7,0),categories!A:B,2,0),"")</f>
        <v>cat0003</v>
      </c>
    </row>
    <row r="10" spans="1:2" x14ac:dyDescent="0.25">
      <c r="A10" s="1" t="s">
        <v>61</v>
      </c>
      <c r="B10" s="1" t="str">
        <f>IFERROR(VLOOKUP(VLOOKUP(A10,spells!A:G,7,0),categories!A:B,2,0),"")</f>
        <v>cat0003</v>
      </c>
    </row>
    <row r="11" spans="1:2" x14ac:dyDescent="0.25">
      <c r="A11" s="1" t="s">
        <v>62</v>
      </c>
      <c r="B11" s="1" t="str">
        <f>IFERROR(VLOOKUP(VLOOKUP(A11,spells!A:G,7,0),categories!A:B,2,0),"")</f>
        <v>cat0003</v>
      </c>
    </row>
    <row r="12" spans="1:2" x14ac:dyDescent="0.25">
      <c r="A12" s="1" t="s">
        <v>76</v>
      </c>
      <c r="B12" s="1" t="str">
        <f>IFERROR(VLOOKUP(VLOOKUP(A12,spells!A:G,7,0),categories!A:B,2,0),"")</f>
        <v>cat0003</v>
      </c>
    </row>
    <row r="13" spans="1:2" x14ac:dyDescent="0.25">
      <c r="A13" s="1" t="s">
        <v>77</v>
      </c>
      <c r="B13" s="1" t="str">
        <f>IFERROR(VLOOKUP(VLOOKUP(A13,spells!A:G,7,0),categories!A:B,2,0),"")</f>
        <v>cat0003</v>
      </c>
    </row>
    <row r="14" spans="1:2" x14ac:dyDescent="0.25">
      <c r="A14" s="1" t="s">
        <v>78</v>
      </c>
      <c r="B14" s="1" t="str">
        <f>IFERROR(VLOOKUP(VLOOKUP(A14,spells!A:G,7,0),categories!A:B,2,0),"")</f>
        <v>cat0003</v>
      </c>
    </row>
    <row r="15" spans="1:2" x14ac:dyDescent="0.25">
      <c r="A15" s="1" t="s">
        <v>79</v>
      </c>
      <c r="B15" s="1" t="str">
        <f>IFERROR(VLOOKUP(VLOOKUP(A15,spells!A:G,7,0),categories!A:B,2,0),"")</f>
        <v>cat0003</v>
      </c>
    </row>
    <row r="16" spans="1:2" x14ac:dyDescent="0.25">
      <c r="A16" s="1" t="s">
        <v>80</v>
      </c>
      <c r="B16" s="1" t="str">
        <f>IFERROR(VLOOKUP(VLOOKUP(A16,spells!A:G,7,0),categories!A:B,2,0),"")</f>
        <v>cat0004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4" sqref="A4"/>
    </sheetView>
  </sheetViews>
  <sheetFormatPr defaultRowHeight="15" x14ac:dyDescent="0.25"/>
  <cols>
    <col min="1" max="1" width="27.5703125" bestFit="1" customWidth="1"/>
  </cols>
  <sheetData>
    <row r="1" spans="1:3" x14ac:dyDescent="0.25">
      <c r="A1" s="1" t="s">
        <v>86</v>
      </c>
      <c r="B1" t="s">
        <v>2</v>
      </c>
      <c r="C1" t="s">
        <v>18</v>
      </c>
    </row>
    <row r="2" spans="1:3" x14ac:dyDescent="0.25">
      <c r="A2" t="s">
        <v>19</v>
      </c>
      <c r="B2" t="s">
        <v>16</v>
      </c>
    </row>
    <row r="3" spans="1:3" x14ac:dyDescent="0.25">
      <c r="A3" t="s">
        <v>30</v>
      </c>
      <c r="B3" s="1" t="s">
        <v>17</v>
      </c>
      <c r="C3" s="1"/>
    </row>
    <row r="4" spans="1:3" x14ac:dyDescent="0.25">
      <c r="A4" s="1" t="s">
        <v>14</v>
      </c>
      <c r="B4" s="1" t="s">
        <v>24</v>
      </c>
      <c r="C4" s="1" t="s">
        <v>16</v>
      </c>
    </row>
    <row r="5" spans="1:3" x14ac:dyDescent="0.25">
      <c r="A5" s="1" t="s">
        <v>15</v>
      </c>
      <c r="B5" s="1" t="s">
        <v>25</v>
      </c>
      <c r="C5" s="1" t="s">
        <v>16</v>
      </c>
    </row>
    <row r="6" spans="1:3" x14ac:dyDescent="0.25">
      <c r="A6" s="1" t="s">
        <v>20</v>
      </c>
      <c r="B6" s="1" t="s">
        <v>26</v>
      </c>
      <c r="C6" s="1" t="s">
        <v>16</v>
      </c>
    </row>
    <row r="7" spans="1:3" x14ac:dyDescent="0.25">
      <c r="A7" s="1" t="s">
        <v>21</v>
      </c>
      <c r="B7" s="1" t="s">
        <v>27</v>
      </c>
      <c r="C7" s="1" t="s">
        <v>16</v>
      </c>
    </row>
    <row r="8" spans="1:3" x14ac:dyDescent="0.25">
      <c r="A8" s="1" t="s">
        <v>22</v>
      </c>
      <c r="B8" s="1" t="s">
        <v>28</v>
      </c>
      <c r="C8" s="1" t="s">
        <v>17</v>
      </c>
    </row>
    <row r="9" spans="1:3" x14ac:dyDescent="0.25">
      <c r="A9" s="1" t="s">
        <v>23</v>
      </c>
      <c r="B9" s="1" t="s">
        <v>29</v>
      </c>
      <c r="C9" s="1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3" sqref="C3"/>
    </sheetView>
  </sheetViews>
  <sheetFormatPr defaultRowHeight="15" x14ac:dyDescent="0.25"/>
  <cols>
    <col min="1" max="1" width="22.85546875" bestFit="1" customWidth="1"/>
  </cols>
  <sheetData>
    <row r="1" spans="1:1" x14ac:dyDescent="0.25">
      <c r="A1" s="1" t="s">
        <v>33</v>
      </c>
    </row>
    <row r="2" spans="1:1" x14ac:dyDescent="0.25">
      <c r="A2" s="1" t="s">
        <v>37</v>
      </c>
    </row>
    <row r="3" spans="1:1" x14ac:dyDescent="0.25">
      <c r="A3" s="1" t="s">
        <v>42</v>
      </c>
    </row>
    <row r="4" spans="1:1" x14ac:dyDescent="0.25">
      <c r="A4" s="1" t="s">
        <v>45</v>
      </c>
    </row>
    <row r="5" spans="1:1" x14ac:dyDescent="0.25">
      <c r="A5" s="1" t="s">
        <v>47</v>
      </c>
    </row>
    <row r="6" spans="1:1" x14ac:dyDescent="0.25">
      <c r="A6" s="1" t="s">
        <v>49</v>
      </c>
    </row>
    <row r="7" spans="1:1" x14ac:dyDescent="0.25">
      <c r="A7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manuscripts</vt:lpstr>
      <vt:lpstr>spells</vt:lpstr>
      <vt:lpstr>spell_categories</vt:lpstr>
      <vt:lpstr>categories</vt:lpstr>
      <vt:lpstr>title_en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2026-02-06T15:43:33Z</dcterms:modified>
</cp:coreProperties>
</file>